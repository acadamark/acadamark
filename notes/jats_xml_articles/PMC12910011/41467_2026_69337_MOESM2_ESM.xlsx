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Q:\AH\Forschung\AG-Haack\Kandidatengene\CD99L2\Manuscript\Nat Commun\Revision R3\For Upload\"/>
    </mc:Choice>
  </mc:AlternateContent>
  <xr:revisionPtr revIDLastSave="0" documentId="13_ncr:1_{0506465C-75E2-4570-941A-2B026F988C62}" xr6:coauthVersionLast="47" xr6:coauthVersionMax="47" xr10:uidLastSave="{00000000-0000-0000-0000-000000000000}"/>
  <bookViews>
    <workbookView xWindow="-120" yWindow="-120" windowWidth="29040" windowHeight="15840" xr2:uid="{6189CFC8-D1A9-4CB3-81F4-37076E4A6A16}"/>
  </bookViews>
  <sheets>
    <sheet name="Supplementary Data_1_top100"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102" i="2" l="1"/>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alcChain>
</file>

<file path=xl/sharedStrings.xml><?xml version="1.0" encoding="utf-8"?>
<sst xmlns="http://schemas.openxmlformats.org/spreadsheetml/2006/main" count="107" uniqueCount="107">
  <si>
    <t>#gene</t>
  </si>
  <si>
    <t>SPAST</t>
  </si>
  <si>
    <t>CD99L2</t>
  </si>
  <si>
    <t>SACS</t>
  </si>
  <si>
    <t>STUB1</t>
  </si>
  <si>
    <t>REEP1</t>
  </si>
  <si>
    <t>UCHL1</t>
  </si>
  <si>
    <t>CTAG2</t>
  </si>
  <si>
    <t>ABCD1</t>
  </si>
  <si>
    <t>POLR3A</t>
  </si>
  <si>
    <t>ZBED4</t>
  </si>
  <si>
    <t>DTX1</t>
  </si>
  <si>
    <t>KIF1C</t>
  </si>
  <si>
    <t>TFDP2</t>
  </si>
  <si>
    <t>EGF</t>
  </si>
  <si>
    <t>SPG11</t>
  </si>
  <si>
    <t>MAVS</t>
  </si>
  <si>
    <t>SLC44A4</t>
  </si>
  <si>
    <t>DEFB131A</t>
  </si>
  <si>
    <t>HSD17B14</t>
  </si>
  <si>
    <t>SIL1</t>
  </si>
  <si>
    <t>STAP1</t>
  </si>
  <si>
    <t>EMC1</t>
  </si>
  <si>
    <t>BANK1</t>
  </si>
  <si>
    <t>MFSD10</t>
  </si>
  <si>
    <t>SLC25A40</t>
  </si>
  <si>
    <t>VAX2</t>
  </si>
  <si>
    <t>CWH43</t>
  </si>
  <si>
    <t>HORMAD2</t>
  </si>
  <si>
    <t>ZDHHC13</t>
  </si>
  <si>
    <t>ETV7</t>
  </si>
  <si>
    <t>HEATR5B</t>
  </si>
  <si>
    <t>BIN2</t>
  </si>
  <si>
    <t>CD244</t>
  </si>
  <si>
    <t>FGB</t>
  </si>
  <si>
    <t>GLG1</t>
  </si>
  <si>
    <t>HTR1D</t>
  </si>
  <si>
    <t>FANCM</t>
  </si>
  <si>
    <t>IST1</t>
  </si>
  <si>
    <t>PANK2</t>
  </si>
  <si>
    <t>SYNGR4</t>
  </si>
  <si>
    <t>HPDL</t>
  </si>
  <si>
    <t>MOSPD2</t>
  </si>
  <si>
    <t>CYB561D1</t>
  </si>
  <si>
    <t>EEPD1</t>
  </si>
  <si>
    <t>KIAA1522</t>
  </si>
  <si>
    <t>NIPA2</t>
  </si>
  <si>
    <t>OR4C3</t>
  </si>
  <si>
    <t>RTL8A</t>
  </si>
  <si>
    <t>YWHAH</t>
  </si>
  <si>
    <t>DGUOK</t>
  </si>
  <si>
    <t>PAXX</t>
  </si>
  <si>
    <t>ADAMTS5</t>
  </si>
  <si>
    <t>ATL3</t>
  </si>
  <si>
    <t>CPB2</t>
  </si>
  <si>
    <t>HAUS8</t>
  </si>
  <si>
    <t>MS4A6A</t>
  </si>
  <si>
    <t>PNLIP</t>
  </si>
  <si>
    <t>TMEM128</t>
  </si>
  <si>
    <t>ASXL1</t>
  </si>
  <si>
    <t>CACNA1A</t>
  </si>
  <si>
    <t>GOLGA8T</t>
  </si>
  <si>
    <t>NRP2</t>
  </si>
  <si>
    <t>RASSF1</t>
  </si>
  <si>
    <t>TRMT10A</t>
  </si>
  <si>
    <t>ESYT1</t>
  </si>
  <si>
    <t>SDK1</t>
  </si>
  <si>
    <t>THOP1</t>
  </si>
  <si>
    <t>TSPAN32</t>
  </si>
  <si>
    <t>CAPSL</t>
  </si>
  <si>
    <t>DLGAP4</t>
  </si>
  <si>
    <t>FNTB</t>
  </si>
  <si>
    <t>HDHD2</t>
  </si>
  <si>
    <t>HOXC12</t>
  </si>
  <si>
    <t>OPN1SW</t>
  </si>
  <si>
    <t>OR13F1</t>
  </si>
  <si>
    <t>PARP9</t>
  </si>
  <si>
    <t>PTPRF</t>
  </si>
  <si>
    <t>TUBA4B</t>
  </si>
  <si>
    <t>ZNF808</t>
  </si>
  <si>
    <t>CAPN1</t>
  </si>
  <si>
    <t>DYRK3</t>
  </si>
  <si>
    <t>FAM162A</t>
  </si>
  <si>
    <t>FTSJ3</t>
  </si>
  <si>
    <t>HCAR1</t>
  </si>
  <si>
    <t>MAP4K2</t>
  </si>
  <si>
    <t>MCCD1</t>
  </si>
  <si>
    <t>PKLR</t>
  </si>
  <si>
    <t>ZNF235</t>
  </si>
  <si>
    <t>IFT122</t>
  </si>
  <si>
    <t>MYDGF</t>
  </si>
  <si>
    <t>TMEM237</t>
  </si>
  <si>
    <t>ATN1</t>
  </si>
  <si>
    <t>KIAA1328</t>
  </si>
  <si>
    <t>PDPN</t>
  </si>
  <si>
    <t>RTN4IP1</t>
  </si>
  <si>
    <t>TMEM134</t>
  </si>
  <si>
    <t>FTCD</t>
  </si>
  <si>
    <t>LAMA1</t>
  </si>
  <si>
    <t>SLC25A43</t>
  </si>
  <si>
    <t>ABHD8</t>
  </si>
  <si>
    <r>
      <rPr>
        <b/>
        <i/>
        <sz val="9"/>
        <color theme="1"/>
        <rFont val="Calibri"/>
        <family val="2"/>
        <scheme val="minor"/>
      </rPr>
      <t>P-</t>
    </r>
    <r>
      <rPr>
        <b/>
        <sz val="9"/>
        <color theme="1"/>
        <rFont val="Calibri"/>
        <family val="2"/>
        <scheme val="minor"/>
      </rPr>
      <t>value model 1
(high impact, dominant model)</t>
    </r>
  </si>
  <si>
    <r>
      <rPr>
        <b/>
        <i/>
        <sz val="9"/>
        <color theme="1"/>
        <rFont val="Calibri"/>
        <family val="2"/>
        <scheme val="minor"/>
      </rPr>
      <t>P-</t>
    </r>
    <r>
      <rPr>
        <b/>
        <sz val="9"/>
        <color theme="1"/>
        <rFont val="Calibri"/>
        <family val="2"/>
        <scheme val="minor"/>
      </rPr>
      <t>value model 2
(high impact, recessive model)</t>
    </r>
  </si>
  <si>
    <r>
      <rPr>
        <b/>
        <i/>
        <sz val="9"/>
        <color theme="1"/>
        <rFont val="Calibri"/>
        <family val="2"/>
        <scheme val="minor"/>
      </rPr>
      <t>P-</t>
    </r>
    <r>
      <rPr>
        <b/>
        <sz val="9"/>
        <color theme="1"/>
        <rFont val="Calibri"/>
        <family val="2"/>
        <scheme val="minor"/>
      </rPr>
      <t>value model 3
(high impact &amp; CNVs, recessive model)</t>
    </r>
  </si>
  <si>
    <r>
      <t xml:space="preserve">minimum </t>
    </r>
    <r>
      <rPr>
        <b/>
        <i/>
        <sz val="9"/>
        <color theme="1"/>
        <rFont val="Calibri"/>
        <family val="2"/>
        <scheme val="minor"/>
      </rPr>
      <t>P</t>
    </r>
    <r>
      <rPr>
        <b/>
        <sz val="9"/>
        <color theme="1"/>
        <rFont val="Calibri"/>
        <family val="2"/>
        <scheme val="minor"/>
      </rPr>
      <t>-value from 3 models</t>
    </r>
  </si>
  <si>
    <t>Supplementary Data 1: Extended prioritization list of candidate genes.</t>
  </si>
  <si>
    <r>
      <t xml:space="preserve">The lowest </t>
    </r>
    <r>
      <rPr>
        <i/>
        <sz val="9"/>
        <color theme="1"/>
        <rFont val="Calibri"/>
        <family val="2"/>
        <scheme val="minor"/>
      </rPr>
      <t>P-</t>
    </r>
    <r>
      <rPr>
        <sz val="9"/>
        <color theme="1"/>
        <rFont val="Calibri"/>
        <family val="2"/>
        <scheme val="minor"/>
      </rPr>
      <t xml:space="preserve">values were used for gene-wise association analyses conducted for high-quality protein-truncating variants (PTVs), and high impact variants, considering only variants for which population-specific MAFs were likely &lt; 0.1%. P-values are provided for the dominant (model 1) and recessive (model 2) pattern of inheritance. Given that copy number variants (CNVs), at least in the homozygous state, can be detected with a high sensitivity and specificity in genomes and uniformly processed exome datasets, we extended the recessive stringent model to include high-quality homozygous exon deletions (model 3). The lowest </t>
    </r>
    <r>
      <rPr>
        <i/>
        <sz val="9"/>
        <color theme="1"/>
        <rFont val="Calibri"/>
        <family val="2"/>
        <scheme val="minor"/>
      </rPr>
      <t>P-</t>
    </r>
    <r>
      <rPr>
        <sz val="9"/>
        <color theme="1"/>
        <rFont val="Calibri"/>
        <family val="2"/>
        <scheme val="minor"/>
      </rPr>
      <t>values from the three models was used for ranking and the 100 top genes are shown.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</si>
</sst>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9"/>
      <color theme="1"/>
      <name val="Calibri"/>
      <family val="2"/>
      <scheme val="minor"/>
    </font>
    <font>
      <b/>
      <i/>
      <sz val="9"/>
      <color theme="1"/>
      <name val="Calibri"/>
      <family val="2"/>
      <scheme val="minor"/>
    </font>
    <font>
      <sz val="9"/>
      <color theme="1"/>
      <name val="Calibri"/>
      <family val="2"/>
      <scheme val="minor"/>
    </font>
    <font>
      <i/>
      <sz val="9"/>
      <color theme="1"/>
      <name val="Calibri"/>
      <family val="2"/>
      <scheme val="minor"/>
    </font>
  </fonts>
  <fills count="2">
    <fill>
      <patternFill patternType="none"/>
    </fill>
    <fill>
      <patternFill patternType="gray125"/>
    </fill>
  </fills>
  <borders count="12">
    <border>
      <left/>
      <right/>
      <top/>
      <bottom/>
      <diagonal/>
    </border>
    <border>
      <left style="thin">
        <color indexed="64"/>
      </left>
      <right style="thin">
        <color indexed="64"/>
      </right>
      <top/>
      <bottom/>
      <diagonal/>
    </border>
    <border>
      <left/>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1">
    <xf numFmtId="0" fontId="0" fillId="0" borderId="0"/>
  </cellStyleXfs>
  <cellXfs count="23">
    <xf numFmtId="0" fontId="0" fillId="0" borderId="0" xfId="0"/>
    <xf numFmtId="0" fontId="3" fillId="0" borderId="0" xfId="0" applyFont="1"/>
    <xf numFmtId="0" fontId="3" fillId="0" borderId="3" xfId="0" applyFont="1" applyFill="1" applyBorder="1"/>
    <xf numFmtId="11" fontId="3" fillId="0" borderId="1" xfId="0" applyNumberFormat="1" applyFont="1" applyFill="1" applyBorder="1"/>
    <xf numFmtId="0" fontId="3" fillId="0" borderId="1" xfId="0" applyFont="1" applyFill="1" applyBorder="1"/>
    <xf numFmtId="0" fontId="3" fillId="0" borderId="4" xfId="0" applyFont="1" applyFill="1" applyBorder="1"/>
    <xf numFmtId="0" fontId="1" fillId="0" borderId="3" xfId="0" applyFont="1" applyFill="1" applyBorder="1"/>
    <xf numFmtId="0" fontId="1" fillId="0" borderId="1" xfId="0" applyFont="1" applyFill="1" applyBorder="1"/>
    <xf numFmtId="11" fontId="1" fillId="0" borderId="1" xfId="0" applyNumberFormat="1" applyFont="1" applyFill="1" applyBorder="1"/>
    <xf numFmtId="0" fontId="1" fillId="0" borderId="4" xfId="0" applyFont="1" applyFill="1" applyBorder="1"/>
    <xf numFmtId="0" fontId="3" fillId="0" borderId="3" xfId="0" applyFont="1" applyBorder="1"/>
    <xf numFmtId="0" fontId="3" fillId="0" borderId="1" xfId="0" applyFont="1" applyBorder="1"/>
    <xf numFmtId="0" fontId="3" fillId="0" borderId="4" xfId="0" applyFont="1" applyBorder="1"/>
    <xf numFmtId="11" fontId="3" fillId="0" borderId="1" xfId="0" applyNumberFormat="1" applyFont="1" applyBorder="1"/>
    <xf numFmtId="0" fontId="3" fillId="0" borderId="5" xfId="0" applyFont="1" applyBorder="1"/>
    <xf numFmtId="0" fontId="3" fillId="0" borderId="6" xfId="0" applyFont="1" applyBorder="1"/>
    <xf numFmtId="0" fontId="3" fillId="0" borderId="7" xfId="0" applyFont="1" applyBorder="1"/>
    <xf numFmtId="0" fontId="3" fillId="0" borderId="2" xfId="0" applyFont="1" applyBorder="1" applyAlignment="1">
      <alignment horizontal="left" vertical="top" wrapText="1"/>
    </xf>
    <xf numFmtId="0" fontId="1" fillId="0" borderId="9" xfId="0" applyFont="1" applyBorder="1"/>
    <xf numFmtId="0" fontId="1" fillId="0" borderId="8" xfId="0" applyFont="1" applyBorder="1"/>
    <xf numFmtId="0" fontId="1" fillId="0" borderId="10" xfId="0" applyFont="1" applyBorder="1" applyAlignment="1">
      <alignment wrapText="1"/>
    </xf>
    <xf numFmtId="0" fontId="1" fillId="0" borderId="11" xfId="0" applyFont="1" applyBorder="1" applyAlignment="1">
      <alignment wrapText="1"/>
    </xf>
    <xf numFmtId="0" fontId="3" fillId="0" borderId="8" xfId="0" applyFont="1" applyBorder="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D12B6-7C61-41CB-B13B-AA5D970D4030}">
  <dimension ref="A1:E103"/>
  <sheetViews>
    <sheetView tabSelected="1" view="pageBreakPreview" zoomScale="130" zoomScaleNormal="100" zoomScaleSheetLayoutView="130" workbookViewId="0">
      <selection activeCell="C7" sqref="C7"/>
    </sheetView>
  </sheetViews>
  <sheetFormatPr baseColWidth="10" defaultColWidth="11.42578125" defaultRowHeight="14.1" customHeight="1" x14ac:dyDescent="0.2"/>
  <cols>
    <col min="1" max="1" width="11.42578125" style="1"/>
    <col min="2" max="2" width="15.85546875" style="1" customWidth="1"/>
    <col min="3" max="3" width="18.140625" style="1" customWidth="1"/>
    <col min="4" max="4" width="19.140625" style="1" customWidth="1"/>
    <col min="5" max="5" width="19.42578125" style="1" customWidth="1"/>
    <col min="6" max="16384" width="11.42578125" style="1"/>
  </cols>
  <sheetData>
    <row r="1" spans="1:5" ht="14.1" customHeight="1" x14ac:dyDescent="0.2">
      <c r="A1" s="19" t="s">
        <v>105</v>
      </c>
      <c r="B1" s="22"/>
      <c r="C1" s="22"/>
      <c r="D1" s="22"/>
      <c r="E1" s="22"/>
    </row>
    <row r="2" spans="1:5" ht="42.75" customHeight="1" x14ac:dyDescent="0.2">
      <c r="A2" s="18" t="s">
        <v>0</v>
      </c>
      <c r="B2" s="20" t="s">
        <v>101</v>
      </c>
      <c r="C2" s="20" t="s">
        <v>102</v>
      </c>
      <c r="D2" s="20" t="s">
        <v>103</v>
      </c>
      <c r="E2" s="21" t="s">
        <v>104</v>
      </c>
    </row>
    <row r="3" spans="1:5" ht="12" customHeight="1" x14ac:dyDescent="0.2">
      <c r="A3" s="2" t="s">
        <v>1</v>
      </c>
      <c r="B3" s="3">
        <v>2.0850436923887999E-20</v>
      </c>
      <c r="C3" s="4">
        <v>0.17421761973800001</v>
      </c>
      <c r="D3" s="4"/>
      <c r="E3" s="5">
        <f t="shared" ref="E3:E34" si="0">MIN(B3,C3,D3)</f>
        <v>2.0850436923887999E-20</v>
      </c>
    </row>
    <row r="4" spans="1:5" ht="12" customHeight="1" x14ac:dyDescent="0.2">
      <c r="A4" s="6" t="s">
        <v>2</v>
      </c>
      <c r="B4" s="7">
        <v>1.6107443799999999E-4</v>
      </c>
      <c r="C4" s="7">
        <v>1.6107443799999999E-4</v>
      </c>
      <c r="D4" s="8">
        <v>8.5727438499689496E-7</v>
      </c>
      <c r="E4" s="9">
        <f t="shared" si="0"/>
        <v>8.5727438499689496E-7</v>
      </c>
    </row>
    <row r="5" spans="1:5" ht="12" customHeight="1" x14ac:dyDescent="0.2">
      <c r="A5" s="2" t="s">
        <v>3</v>
      </c>
      <c r="B5" s="4">
        <v>3.5920992648999998E-2</v>
      </c>
      <c r="C5" s="3">
        <v>2.8112626E-5</v>
      </c>
      <c r="D5" s="3">
        <v>4.9083160865084004E-6</v>
      </c>
      <c r="E5" s="5">
        <f t="shared" si="0"/>
        <v>4.9083160865084004E-6</v>
      </c>
    </row>
    <row r="6" spans="1:5" ht="12" customHeight="1" x14ac:dyDescent="0.2">
      <c r="A6" s="2" t="s">
        <v>4</v>
      </c>
      <c r="B6" s="3">
        <v>8.368109E-6</v>
      </c>
      <c r="C6" s="4">
        <v>1</v>
      </c>
      <c r="D6" s="4"/>
      <c r="E6" s="5">
        <f t="shared" si="0"/>
        <v>8.368109E-6</v>
      </c>
    </row>
    <row r="7" spans="1:5" ht="12" customHeight="1" x14ac:dyDescent="0.2">
      <c r="A7" s="2" t="s">
        <v>5</v>
      </c>
      <c r="B7" s="3">
        <v>2.8112626E-5</v>
      </c>
      <c r="C7" s="4">
        <v>1</v>
      </c>
      <c r="D7" s="4"/>
      <c r="E7" s="5">
        <f t="shared" si="0"/>
        <v>2.8112626E-5</v>
      </c>
    </row>
    <row r="8" spans="1:5" ht="12" customHeight="1" x14ac:dyDescent="0.2">
      <c r="A8" s="2" t="s">
        <v>6</v>
      </c>
      <c r="B8" s="3">
        <v>2.8112626E-5</v>
      </c>
      <c r="C8" s="4">
        <v>1</v>
      </c>
      <c r="D8" s="4"/>
      <c r="E8" s="5">
        <f t="shared" si="0"/>
        <v>2.8112626E-5</v>
      </c>
    </row>
    <row r="9" spans="1:5" ht="12" customHeight="1" x14ac:dyDescent="0.2">
      <c r="A9" s="2" t="s">
        <v>7</v>
      </c>
      <c r="B9" s="4">
        <v>0.24616614064100001</v>
      </c>
      <c r="C9" s="4">
        <v>3.0362732722000001E-2</v>
      </c>
      <c r="D9" s="4">
        <v>1.61074437948936E-4</v>
      </c>
      <c r="E9" s="5">
        <f t="shared" si="0"/>
        <v>1.61074437948936E-4</v>
      </c>
    </row>
    <row r="10" spans="1:5" ht="12" customHeight="1" x14ac:dyDescent="0.2">
      <c r="A10" s="10" t="s">
        <v>8</v>
      </c>
      <c r="B10" s="11">
        <v>1.6107443799999999E-4</v>
      </c>
      <c r="C10" s="11">
        <v>5.2935407639999998E-3</v>
      </c>
      <c r="D10" s="11">
        <v>5.2935407639836804E-3</v>
      </c>
      <c r="E10" s="12">
        <f t="shared" si="0"/>
        <v>1.6107443799999999E-4</v>
      </c>
    </row>
    <row r="11" spans="1:5" ht="12" customHeight="1" x14ac:dyDescent="0.2">
      <c r="A11" s="10" t="s">
        <v>9</v>
      </c>
      <c r="B11" s="11">
        <v>2.8489381299999999E-4</v>
      </c>
      <c r="C11" s="11">
        <v>1</v>
      </c>
      <c r="D11" s="11"/>
      <c r="E11" s="12">
        <f t="shared" si="0"/>
        <v>2.8489381299999999E-4</v>
      </c>
    </row>
    <row r="12" spans="1:5" ht="12" customHeight="1" x14ac:dyDescent="0.2">
      <c r="A12" s="10" t="s">
        <v>10</v>
      </c>
      <c r="B12" s="11">
        <v>8.2588349499999999E-4</v>
      </c>
      <c r="C12" s="11">
        <v>1</v>
      </c>
      <c r="D12" s="11"/>
      <c r="E12" s="12">
        <f t="shared" si="0"/>
        <v>8.2588349499999999E-4</v>
      </c>
    </row>
    <row r="13" spans="1:5" ht="12" customHeight="1" x14ac:dyDescent="0.2">
      <c r="A13" s="10" t="s">
        <v>11</v>
      </c>
      <c r="B13" s="11">
        <v>9.2322639200000003E-4</v>
      </c>
      <c r="C13" s="11">
        <v>1</v>
      </c>
      <c r="D13" s="11"/>
      <c r="E13" s="12">
        <f t="shared" si="0"/>
        <v>9.2322639200000003E-4</v>
      </c>
    </row>
    <row r="14" spans="1:5" ht="12" customHeight="1" x14ac:dyDescent="0.2">
      <c r="A14" s="10" t="s">
        <v>12</v>
      </c>
      <c r="B14" s="11">
        <v>5.5487280913000002E-2</v>
      </c>
      <c r="C14" s="11">
        <v>9.2322639200000003E-4</v>
      </c>
      <c r="D14" s="11">
        <v>9.2322639239349495E-4</v>
      </c>
      <c r="E14" s="12">
        <f t="shared" si="0"/>
        <v>9.2322639200000003E-4</v>
      </c>
    </row>
    <row r="15" spans="1:5" ht="12" customHeight="1" x14ac:dyDescent="0.2">
      <c r="A15" s="10" t="s">
        <v>13</v>
      </c>
      <c r="B15" s="11">
        <v>9.2322639200000003E-4</v>
      </c>
      <c r="C15" s="11">
        <v>1</v>
      </c>
      <c r="D15" s="11"/>
      <c r="E15" s="12">
        <f t="shared" si="0"/>
        <v>9.2322639200000003E-4</v>
      </c>
    </row>
    <row r="16" spans="1:5" ht="12" customHeight="1" x14ac:dyDescent="0.2">
      <c r="A16" s="10" t="s">
        <v>14</v>
      </c>
      <c r="B16" s="11">
        <v>9.4146479899999999E-4</v>
      </c>
      <c r="C16" s="11">
        <v>1</v>
      </c>
      <c r="D16" s="11"/>
      <c r="E16" s="12">
        <f t="shared" si="0"/>
        <v>9.4146479899999999E-4</v>
      </c>
    </row>
    <row r="17" spans="1:5" ht="12" customHeight="1" x14ac:dyDescent="0.2">
      <c r="A17" s="10" t="s">
        <v>15</v>
      </c>
      <c r="B17" s="11">
        <v>2.3068182199E-2</v>
      </c>
      <c r="C17" s="11">
        <v>1.4549013419999999E-3</v>
      </c>
      <c r="D17" s="11">
        <v>1.45490134205293E-3</v>
      </c>
      <c r="E17" s="12">
        <f t="shared" si="0"/>
        <v>1.4549013419999999E-3</v>
      </c>
    </row>
    <row r="18" spans="1:5" ht="12" customHeight="1" x14ac:dyDescent="0.2">
      <c r="A18" s="10" t="s">
        <v>16</v>
      </c>
      <c r="B18" s="13">
        <v>1.708865149E-3</v>
      </c>
      <c r="C18" s="11">
        <v>1</v>
      </c>
      <c r="D18" s="11"/>
      <c r="E18" s="12">
        <f t="shared" si="0"/>
        <v>1.708865149E-3</v>
      </c>
    </row>
    <row r="19" spans="1:5" ht="12" customHeight="1" x14ac:dyDescent="0.2">
      <c r="A19" s="10" t="s">
        <v>17</v>
      </c>
      <c r="B19" s="13">
        <v>1.708865149E-3</v>
      </c>
      <c r="C19" s="11">
        <v>1</v>
      </c>
      <c r="D19" s="11"/>
      <c r="E19" s="12">
        <f t="shared" si="0"/>
        <v>1.708865149E-3</v>
      </c>
    </row>
    <row r="20" spans="1:5" ht="12" customHeight="1" x14ac:dyDescent="0.2">
      <c r="A20" s="10" t="s">
        <v>18</v>
      </c>
      <c r="B20" s="13">
        <v>2.4722460129999999E-3</v>
      </c>
      <c r="C20" s="11">
        <v>1</v>
      </c>
      <c r="D20" s="11"/>
      <c r="E20" s="12">
        <f t="shared" si="0"/>
        <v>2.4722460129999999E-3</v>
      </c>
    </row>
    <row r="21" spans="1:5" ht="12" customHeight="1" x14ac:dyDescent="0.2">
      <c r="A21" s="10" t="s">
        <v>19</v>
      </c>
      <c r="B21" s="11">
        <v>2.4722460129999999E-3</v>
      </c>
      <c r="C21" s="11">
        <v>1</v>
      </c>
      <c r="D21" s="11"/>
      <c r="E21" s="12">
        <f t="shared" si="0"/>
        <v>2.4722460129999999E-3</v>
      </c>
    </row>
    <row r="22" spans="1:5" ht="12" customHeight="1" x14ac:dyDescent="0.2">
      <c r="A22" s="10" t="s">
        <v>20</v>
      </c>
      <c r="B22" s="11">
        <v>2.4722460129999999E-3</v>
      </c>
      <c r="C22" s="11">
        <v>0.17421761973800001</v>
      </c>
      <c r="D22" s="11"/>
      <c r="E22" s="12">
        <f t="shared" si="0"/>
        <v>2.4722460129999999E-3</v>
      </c>
    </row>
    <row r="23" spans="1:5" ht="12" customHeight="1" x14ac:dyDescent="0.2">
      <c r="A23" s="10" t="s">
        <v>21</v>
      </c>
      <c r="B23" s="11">
        <v>2.4722460129999999E-3</v>
      </c>
      <c r="C23" s="11">
        <v>1</v>
      </c>
      <c r="D23" s="11"/>
      <c r="E23" s="12">
        <f t="shared" si="0"/>
        <v>2.4722460129999999E-3</v>
      </c>
    </row>
    <row r="24" spans="1:5" ht="12" customHeight="1" x14ac:dyDescent="0.2">
      <c r="A24" s="10" t="s">
        <v>22</v>
      </c>
      <c r="B24" s="11">
        <v>2.543111286E-3</v>
      </c>
      <c r="C24" s="11">
        <v>1</v>
      </c>
      <c r="D24" s="11"/>
      <c r="E24" s="12">
        <f t="shared" si="0"/>
        <v>2.543111286E-3</v>
      </c>
    </row>
    <row r="25" spans="1:5" ht="12" customHeight="1" x14ac:dyDescent="0.2">
      <c r="A25" s="10" t="s">
        <v>23</v>
      </c>
      <c r="B25" s="11">
        <v>2.8964738049999999E-3</v>
      </c>
      <c r="C25" s="11">
        <v>1</v>
      </c>
      <c r="D25" s="11"/>
      <c r="E25" s="12">
        <f t="shared" si="0"/>
        <v>2.8964738049999999E-3</v>
      </c>
    </row>
    <row r="26" spans="1:5" ht="12" customHeight="1" x14ac:dyDescent="0.2">
      <c r="A26" s="10" t="s">
        <v>24</v>
      </c>
      <c r="B26" s="11">
        <v>3.0992082599999998E-3</v>
      </c>
      <c r="C26" s="11">
        <v>1</v>
      </c>
      <c r="D26" s="11"/>
      <c r="E26" s="12">
        <f t="shared" si="0"/>
        <v>3.0992082599999998E-3</v>
      </c>
    </row>
    <row r="27" spans="1:5" ht="12" customHeight="1" x14ac:dyDescent="0.2">
      <c r="A27" s="10" t="s">
        <v>25</v>
      </c>
      <c r="B27" s="11">
        <v>3.0992082599999998E-3</v>
      </c>
      <c r="C27" s="11">
        <v>3.0362732722000001E-2</v>
      </c>
      <c r="D27" s="11">
        <v>3.0362732722380499E-2</v>
      </c>
      <c r="E27" s="12">
        <f t="shared" si="0"/>
        <v>3.0992082599999998E-3</v>
      </c>
    </row>
    <row r="28" spans="1:5" ht="12" customHeight="1" x14ac:dyDescent="0.2">
      <c r="A28" s="10" t="s">
        <v>26</v>
      </c>
      <c r="B28" s="11">
        <v>3.0992082599999998E-3</v>
      </c>
      <c r="C28" s="11">
        <v>1</v>
      </c>
      <c r="D28" s="11"/>
      <c r="E28" s="12">
        <f t="shared" si="0"/>
        <v>3.0992082599999998E-3</v>
      </c>
    </row>
    <row r="29" spans="1:5" ht="12" customHeight="1" x14ac:dyDescent="0.2">
      <c r="A29" s="10" t="s">
        <v>27</v>
      </c>
      <c r="B29" s="11">
        <v>3.139506716E-3</v>
      </c>
      <c r="C29" s="11">
        <v>1</v>
      </c>
      <c r="D29" s="11"/>
      <c r="E29" s="12">
        <f t="shared" si="0"/>
        <v>3.139506716E-3</v>
      </c>
    </row>
    <row r="30" spans="1:5" ht="12" customHeight="1" x14ac:dyDescent="0.2">
      <c r="A30" s="10" t="s">
        <v>28</v>
      </c>
      <c r="B30" s="11">
        <v>3.139506716E-3</v>
      </c>
      <c r="C30" s="11">
        <v>1</v>
      </c>
      <c r="D30" s="11"/>
      <c r="E30" s="12">
        <f t="shared" si="0"/>
        <v>3.139506716E-3</v>
      </c>
    </row>
    <row r="31" spans="1:5" ht="12" customHeight="1" x14ac:dyDescent="0.2">
      <c r="A31" s="10" t="s">
        <v>29</v>
      </c>
      <c r="B31" s="11">
        <v>3.2946885360000001E-3</v>
      </c>
      <c r="C31" s="11">
        <v>0.106736275613</v>
      </c>
      <c r="D31" s="11">
        <v>0.10673627561311</v>
      </c>
      <c r="E31" s="12">
        <f t="shared" si="0"/>
        <v>3.2946885360000001E-3</v>
      </c>
    </row>
    <row r="32" spans="1:5" ht="12" customHeight="1" x14ac:dyDescent="0.2">
      <c r="A32" s="10" t="s">
        <v>30</v>
      </c>
      <c r="B32" s="11">
        <v>3.9124644149999997E-3</v>
      </c>
      <c r="C32" s="11">
        <v>0.17421761973800001</v>
      </c>
      <c r="D32" s="11"/>
      <c r="E32" s="12">
        <f t="shared" si="0"/>
        <v>3.9124644149999997E-3</v>
      </c>
    </row>
    <row r="33" spans="1:5" ht="12" customHeight="1" x14ac:dyDescent="0.2">
      <c r="A33" s="10" t="s">
        <v>31</v>
      </c>
      <c r="B33" s="11">
        <v>3.9124644149999997E-3</v>
      </c>
      <c r="C33" s="11">
        <v>1</v>
      </c>
      <c r="D33" s="11"/>
      <c r="E33" s="12">
        <f t="shared" si="0"/>
        <v>3.9124644149999997E-3</v>
      </c>
    </row>
    <row r="34" spans="1:5" ht="12" customHeight="1" x14ac:dyDescent="0.2">
      <c r="A34" s="10" t="s">
        <v>32</v>
      </c>
      <c r="B34" s="11">
        <v>3.9718342099999996E-3</v>
      </c>
      <c r="C34" s="11">
        <v>1</v>
      </c>
      <c r="D34" s="11"/>
      <c r="E34" s="12">
        <f t="shared" si="0"/>
        <v>3.9718342099999996E-3</v>
      </c>
    </row>
    <row r="35" spans="1:5" ht="12" customHeight="1" x14ac:dyDescent="0.2">
      <c r="A35" s="10" t="s">
        <v>33</v>
      </c>
      <c r="B35" s="11">
        <v>3.9718342099999996E-3</v>
      </c>
      <c r="C35" s="11">
        <v>1</v>
      </c>
      <c r="D35" s="11"/>
      <c r="E35" s="12">
        <f t="shared" ref="E35:E66" si="1">MIN(B35,C35,D35)</f>
        <v>3.9718342099999996E-3</v>
      </c>
    </row>
    <row r="36" spans="1:5" ht="12" customHeight="1" x14ac:dyDescent="0.2">
      <c r="A36" s="10" t="s">
        <v>34</v>
      </c>
      <c r="B36" s="11">
        <v>3.9718342099999996E-3</v>
      </c>
      <c r="C36" s="11">
        <v>1</v>
      </c>
      <c r="D36" s="11"/>
      <c r="E36" s="12">
        <f t="shared" si="1"/>
        <v>3.9718342099999996E-3</v>
      </c>
    </row>
    <row r="37" spans="1:5" ht="12" customHeight="1" x14ac:dyDescent="0.2">
      <c r="A37" s="10" t="s">
        <v>35</v>
      </c>
      <c r="B37" s="11">
        <v>3.9718342099999996E-3</v>
      </c>
      <c r="C37" s="11">
        <v>1</v>
      </c>
      <c r="D37" s="11"/>
      <c r="E37" s="12">
        <f t="shared" si="1"/>
        <v>3.9718342099999996E-3</v>
      </c>
    </row>
    <row r="38" spans="1:5" ht="12" customHeight="1" x14ac:dyDescent="0.2">
      <c r="A38" s="10" t="s">
        <v>36</v>
      </c>
      <c r="B38" s="11">
        <v>3.9718342099999996E-3</v>
      </c>
      <c r="C38" s="11">
        <v>1</v>
      </c>
      <c r="D38" s="11"/>
      <c r="E38" s="12">
        <f t="shared" si="1"/>
        <v>3.9718342099999996E-3</v>
      </c>
    </row>
    <row r="39" spans="1:5" ht="12" customHeight="1" x14ac:dyDescent="0.2">
      <c r="A39" s="10" t="s">
        <v>37</v>
      </c>
      <c r="B39" s="11">
        <v>4.1608274969999999E-3</v>
      </c>
      <c r="C39" s="11">
        <v>1</v>
      </c>
      <c r="D39" s="11"/>
      <c r="E39" s="12">
        <f t="shared" si="1"/>
        <v>4.1608274969999999E-3</v>
      </c>
    </row>
    <row r="40" spans="1:5" ht="12" customHeight="1" x14ac:dyDescent="0.2">
      <c r="A40" s="10" t="s">
        <v>38</v>
      </c>
      <c r="B40" s="11">
        <v>4.6391147160000003E-3</v>
      </c>
      <c r="C40" s="11">
        <v>1</v>
      </c>
      <c r="D40" s="11"/>
      <c r="E40" s="12">
        <f t="shared" si="1"/>
        <v>4.6391147160000003E-3</v>
      </c>
    </row>
    <row r="41" spans="1:5" ht="12" customHeight="1" x14ac:dyDescent="0.2">
      <c r="A41" s="10" t="s">
        <v>39</v>
      </c>
      <c r="B41" s="11">
        <v>4.6391147160000003E-3</v>
      </c>
      <c r="C41" s="11">
        <v>3.0362732722000001E-2</v>
      </c>
      <c r="D41" s="11">
        <v>3.0362732722380499E-2</v>
      </c>
      <c r="E41" s="12">
        <f t="shared" si="1"/>
        <v>4.6391147160000003E-3</v>
      </c>
    </row>
    <row r="42" spans="1:5" ht="12" customHeight="1" x14ac:dyDescent="0.2">
      <c r="A42" s="10" t="s">
        <v>40</v>
      </c>
      <c r="B42" s="11">
        <v>4.6391147160000003E-3</v>
      </c>
      <c r="C42" s="11">
        <v>1</v>
      </c>
      <c r="D42" s="11"/>
      <c r="E42" s="12">
        <f t="shared" si="1"/>
        <v>4.6391147160000003E-3</v>
      </c>
    </row>
    <row r="43" spans="1:5" ht="12" customHeight="1" x14ac:dyDescent="0.2">
      <c r="A43" s="10" t="s">
        <v>41</v>
      </c>
      <c r="B43" s="11">
        <v>3.5661382800000002E-2</v>
      </c>
      <c r="C43" s="11">
        <v>5.2935407639999998E-3</v>
      </c>
      <c r="D43" s="11">
        <v>5.2935407639836804E-3</v>
      </c>
      <c r="E43" s="12">
        <f t="shared" si="1"/>
        <v>5.2935407639836804E-3</v>
      </c>
    </row>
    <row r="44" spans="1:5" ht="12" customHeight="1" x14ac:dyDescent="0.2">
      <c r="A44" s="10" t="s">
        <v>42</v>
      </c>
      <c r="B44" s="11">
        <v>5.2935407639999998E-3</v>
      </c>
      <c r="C44" s="11">
        <v>5.2935407639999998E-3</v>
      </c>
      <c r="D44" s="11">
        <v>5.2935407639836804E-3</v>
      </c>
      <c r="E44" s="12">
        <f t="shared" si="1"/>
        <v>5.2935407639836804E-3</v>
      </c>
    </row>
    <row r="45" spans="1:5" ht="12" customHeight="1" x14ac:dyDescent="0.2">
      <c r="A45" s="10" t="s">
        <v>43</v>
      </c>
      <c r="B45" s="11">
        <v>5.2935407639999998E-3</v>
      </c>
      <c r="C45" s="11">
        <v>1</v>
      </c>
      <c r="D45" s="11"/>
      <c r="E45" s="12">
        <f t="shared" si="1"/>
        <v>5.2935407639999998E-3</v>
      </c>
    </row>
    <row r="46" spans="1:5" ht="12" customHeight="1" x14ac:dyDescent="0.2">
      <c r="A46" s="10" t="s">
        <v>44</v>
      </c>
      <c r="B46" s="11">
        <v>5.2935407639999998E-3</v>
      </c>
      <c r="C46" s="11">
        <v>1</v>
      </c>
      <c r="D46" s="11"/>
      <c r="E46" s="12">
        <f t="shared" si="1"/>
        <v>5.2935407639999998E-3</v>
      </c>
    </row>
    <row r="47" spans="1:5" ht="12" customHeight="1" x14ac:dyDescent="0.2">
      <c r="A47" s="10" t="s">
        <v>45</v>
      </c>
      <c r="B47" s="11">
        <v>5.2935407639999998E-3</v>
      </c>
      <c r="C47" s="11">
        <v>1</v>
      </c>
      <c r="D47" s="11"/>
      <c r="E47" s="12">
        <f t="shared" si="1"/>
        <v>5.2935407639999998E-3</v>
      </c>
    </row>
    <row r="48" spans="1:5" ht="12" customHeight="1" x14ac:dyDescent="0.2">
      <c r="A48" s="10" t="s">
        <v>46</v>
      </c>
      <c r="B48" s="11">
        <v>5.2935407639999998E-3</v>
      </c>
      <c r="C48" s="11">
        <v>1</v>
      </c>
      <c r="D48" s="11"/>
      <c r="E48" s="12">
        <f t="shared" si="1"/>
        <v>5.2935407639999998E-3</v>
      </c>
    </row>
    <row r="49" spans="1:5" ht="12" customHeight="1" x14ac:dyDescent="0.2">
      <c r="A49" s="10" t="s">
        <v>47</v>
      </c>
      <c r="B49" s="11">
        <v>5.2935407639999998E-3</v>
      </c>
      <c r="C49" s="11">
        <v>1</v>
      </c>
      <c r="D49" s="11"/>
      <c r="E49" s="12">
        <f t="shared" si="1"/>
        <v>5.2935407639999998E-3</v>
      </c>
    </row>
    <row r="50" spans="1:5" ht="12" customHeight="1" x14ac:dyDescent="0.2">
      <c r="A50" s="10" t="s">
        <v>48</v>
      </c>
      <c r="B50" s="11">
        <v>5.2935407639999998E-3</v>
      </c>
      <c r="C50" s="11">
        <v>0.17421761973800001</v>
      </c>
      <c r="D50" s="11"/>
      <c r="E50" s="12">
        <f t="shared" si="1"/>
        <v>5.2935407639999998E-3</v>
      </c>
    </row>
    <row r="51" spans="1:5" ht="12" customHeight="1" x14ac:dyDescent="0.2">
      <c r="A51" s="10" t="s">
        <v>49</v>
      </c>
      <c r="B51" s="11">
        <v>5.2935407639999998E-3</v>
      </c>
      <c r="C51" s="11">
        <v>1</v>
      </c>
      <c r="D51" s="11"/>
      <c r="E51" s="12">
        <f t="shared" si="1"/>
        <v>5.2935407639999998E-3</v>
      </c>
    </row>
    <row r="52" spans="1:5" ht="12" customHeight="1" x14ac:dyDescent="0.2">
      <c r="A52" s="10" t="s">
        <v>50</v>
      </c>
      <c r="B52" s="11">
        <v>5.3375486329999998E-3</v>
      </c>
      <c r="C52" s="11">
        <v>1</v>
      </c>
      <c r="D52" s="11"/>
      <c r="E52" s="12">
        <f t="shared" si="1"/>
        <v>5.3375486329999998E-3</v>
      </c>
    </row>
    <row r="53" spans="1:5" ht="12" customHeight="1" x14ac:dyDescent="0.2">
      <c r="A53" s="10" t="s">
        <v>51</v>
      </c>
      <c r="B53" s="11">
        <v>5.3375486329999998E-3</v>
      </c>
      <c r="C53" s="11">
        <v>1</v>
      </c>
      <c r="D53" s="11"/>
      <c r="E53" s="12">
        <f t="shared" si="1"/>
        <v>5.3375486329999998E-3</v>
      </c>
    </row>
    <row r="54" spans="1:5" ht="12" customHeight="1" x14ac:dyDescent="0.2">
      <c r="A54" s="10" t="s">
        <v>52</v>
      </c>
      <c r="B54" s="11">
        <v>5.6433941499999998E-3</v>
      </c>
      <c r="C54" s="11">
        <v>1</v>
      </c>
      <c r="D54" s="11"/>
      <c r="E54" s="12">
        <f t="shared" si="1"/>
        <v>5.6433941499999998E-3</v>
      </c>
    </row>
    <row r="55" spans="1:5" ht="12" customHeight="1" x14ac:dyDescent="0.2">
      <c r="A55" s="10" t="s">
        <v>53</v>
      </c>
      <c r="B55" s="11">
        <v>5.6433941499999998E-3</v>
      </c>
      <c r="C55" s="11">
        <v>1</v>
      </c>
      <c r="D55" s="11"/>
      <c r="E55" s="12">
        <f t="shared" si="1"/>
        <v>5.6433941499999998E-3</v>
      </c>
    </row>
    <row r="56" spans="1:5" ht="12" customHeight="1" x14ac:dyDescent="0.2">
      <c r="A56" s="10" t="s">
        <v>54</v>
      </c>
      <c r="B56" s="11">
        <v>5.6433941499999998E-3</v>
      </c>
      <c r="C56" s="11">
        <v>1</v>
      </c>
      <c r="D56" s="11"/>
      <c r="E56" s="12">
        <f t="shared" si="1"/>
        <v>5.6433941499999998E-3</v>
      </c>
    </row>
    <row r="57" spans="1:5" ht="12" customHeight="1" x14ac:dyDescent="0.2">
      <c r="A57" s="10" t="s">
        <v>55</v>
      </c>
      <c r="B57" s="11">
        <v>5.6433941499999998E-3</v>
      </c>
      <c r="C57" s="11">
        <v>1</v>
      </c>
      <c r="D57" s="11"/>
      <c r="E57" s="12">
        <f t="shared" si="1"/>
        <v>5.6433941499999998E-3</v>
      </c>
    </row>
    <row r="58" spans="1:5" ht="12" customHeight="1" x14ac:dyDescent="0.2">
      <c r="A58" s="10" t="s">
        <v>56</v>
      </c>
      <c r="B58" s="11">
        <v>5.6433941499999998E-3</v>
      </c>
      <c r="C58" s="11">
        <v>1</v>
      </c>
      <c r="D58" s="11"/>
      <c r="E58" s="12">
        <f t="shared" si="1"/>
        <v>5.6433941499999998E-3</v>
      </c>
    </row>
    <row r="59" spans="1:5" ht="12" customHeight="1" x14ac:dyDescent="0.2">
      <c r="A59" s="10" t="s">
        <v>57</v>
      </c>
      <c r="B59" s="11">
        <v>5.6433941499999998E-3</v>
      </c>
      <c r="C59" s="11">
        <v>1</v>
      </c>
      <c r="D59" s="11"/>
      <c r="E59" s="12">
        <f t="shared" si="1"/>
        <v>5.6433941499999998E-3</v>
      </c>
    </row>
    <row r="60" spans="1:5" ht="12" customHeight="1" x14ac:dyDescent="0.2">
      <c r="A60" s="10" t="s">
        <v>58</v>
      </c>
      <c r="B60" s="11">
        <v>5.6433941499999998E-3</v>
      </c>
      <c r="C60" s="11">
        <v>1</v>
      </c>
      <c r="D60" s="11"/>
      <c r="E60" s="12">
        <f t="shared" si="1"/>
        <v>5.6433941499999998E-3</v>
      </c>
    </row>
    <row r="61" spans="1:5" ht="12" customHeight="1" x14ac:dyDescent="0.2">
      <c r="A61" s="10" t="s">
        <v>59</v>
      </c>
      <c r="B61" s="11">
        <v>5.7961535070000002E-3</v>
      </c>
      <c r="C61" s="11">
        <v>1</v>
      </c>
      <c r="D61" s="11"/>
      <c r="E61" s="12">
        <f t="shared" si="1"/>
        <v>5.7961535070000002E-3</v>
      </c>
    </row>
    <row r="62" spans="1:5" ht="12" customHeight="1" x14ac:dyDescent="0.2">
      <c r="A62" s="10" t="s">
        <v>60</v>
      </c>
      <c r="B62" s="11">
        <v>5.7961535070000002E-3</v>
      </c>
      <c r="C62" s="11">
        <v>0.17421761973800001</v>
      </c>
      <c r="D62" s="11"/>
      <c r="E62" s="12">
        <f t="shared" si="1"/>
        <v>5.7961535070000002E-3</v>
      </c>
    </row>
    <row r="63" spans="1:5" ht="12" customHeight="1" x14ac:dyDescent="0.2">
      <c r="A63" s="10" t="s">
        <v>61</v>
      </c>
      <c r="B63" s="11">
        <v>5.8138222379999997E-3</v>
      </c>
      <c r="C63" s="11">
        <v>0.17421761973800001</v>
      </c>
      <c r="D63" s="11"/>
      <c r="E63" s="12">
        <f t="shared" si="1"/>
        <v>5.8138222379999997E-3</v>
      </c>
    </row>
    <row r="64" spans="1:5" ht="12" customHeight="1" x14ac:dyDescent="0.2">
      <c r="A64" s="10" t="s">
        <v>62</v>
      </c>
      <c r="B64" s="11">
        <v>5.8138222379999997E-3</v>
      </c>
      <c r="C64" s="11">
        <v>1</v>
      </c>
      <c r="D64" s="11"/>
      <c r="E64" s="12">
        <f t="shared" si="1"/>
        <v>5.8138222379999997E-3</v>
      </c>
    </row>
    <row r="65" spans="1:5" ht="12" customHeight="1" x14ac:dyDescent="0.2">
      <c r="A65" s="10" t="s">
        <v>63</v>
      </c>
      <c r="B65" s="11">
        <v>8.5126466809999999E-3</v>
      </c>
      <c r="C65" s="11">
        <v>1</v>
      </c>
      <c r="D65" s="11"/>
      <c r="E65" s="12">
        <f t="shared" si="1"/>
        <v>8.5126466809999999E-3</v>
      </c>
    </row>
    <row r="66" spans="1:5" ht="12" customHeight="1" x14ac:dyDescent="0.2">
      <c r="A66" s="10" t="s">
        <v>64</v>
      </c>
      <c r="B66" s="11">
        <v>8.5126466809999999E-3</v>
      </c>
      <c r="C66" s="11">
        <v>1</v>
      </c>
      <c r="D66" s="11"/>
      <c r="E66" s="12">
        <f t="shared" si="1"/>
        <v>8.5126466809999999E-3</v>
      </c>
    </row>
    <row r="67" spans="1:5" ht="12" customHeight="1" x14ac:dyDescent="0.2">
      <c r="A67" s="10" t="s">
        <v>65</v>
      </c>
      <c r="B67" s="11">
        <v>9.9220234229999999E-3</v>
      </c>
      <c r="C67" s="11">
        <v>1</v>
      </c>
      <c r="D67" s="11"/>
      <c r="E67" s="12">
        <f t="shared" ref="E67:E98" si="2">MIN(B67,C67,D67)</f>
        <v>9.9220234229999999E-3</v>
      </c>
    </row>
    <row r="68" spans="1:5" ht="12" customHeight="1" x14ac:dyDescent="0.2">
      <c r="A68" s="10" t="s">
        <v>66</v>
      </c>
      <c r="B68" s="11">
        <v>9.9220234229999999E-3</v>
      </c>
      <c r="C68" s="11">
        <v>1</v>
      </c>
      <c r="D68" s="11"/>
      <c r="E68" s="12">
        <f t="shared" si="2"/>
        <v>9.9220234229999999E-3</v>
      </c>
    </row>
    <row r="69" spans="1:5" ht="12" customHeight="1" x14ac:dyDescent="0.2">
      <c r="A69" s="10" t="s">
        <v>67</v>
      </c>
      <c r="B69" s="11">
        <v>9.9220234229999999E-3</v>
      </c>
      <c r="C69" s="11">
        <v>1</v>
      </c>
      <c r="D69" s="11"/>
      <c r="E69" s="12">
        <f t="shared" si="2"/>
        <v>9.9220234229999999E-3</v>
      </c>
    </row>
    <row r="70" spans="1:5" ht="12" customHeight="1" x14ac:dyDescent="0.2">
      <c r="A70" s="10" t="s">
        <v>68</v>
      </c>
      <c r="B70" s="11">
        <v>9.9220234229999999E-3</v>
      </c>
      <c r="C70" s="11">
        <v>1</v>
      </c>
      <c r="D70" s="11"/>
      <c r="E70" s="12">
        <f t="shared" si="2"/>
        <v>9.9220234229999999E-3</v>
      </c>
    </row>
    <row r="71" spans="1:5" ht="12" customHeight="1" x14ac:dyDescent="0.2">
      <c r="A71" s="10" t="s">
        <v>69</v>
      </c>
      <c r="B71" s="11">
        <v>1.0263735639E-2</v>
      </c>
      <c r="C71" s="11">
        <v>1</v>
      </c>
      <c r="D71" s="11"/>
      <c r="E71" s="12">
        <f t="shared" si="2"/>
        <v>1.0263735639E-2</v>
      </c>
    </row>
    <row r="72" spans="1:5" ht="12" customHeight="1" x14ac:dyDescent="0.2">
      <c r="A72" s="10" t="s">
        <v>70</v>
      </c>
      <c r="B72" s="11">
        <v>1.0263735639E-2</v>
      </c>
      <c r="C72" s="11">
        <v>1</v>
      </c>
      <c r="D72" s="11"/>
      <c r="E72" s="12">
        <f t="shared" si="2"/>
        <v>1.0263735639E-2</v>
      </c>
    </row>
    <row r="73" spans="1:5" ht="12" customHeight="1" x14ac:dyDescent="0.2">
      <c r="A73" s="10" t="s">
        <v>71</v>
      </c>
      <c r="B73" s="11">
        <v>1.0263735639E-2</v>
      </c>
      <c r="C73" s="11">
        <v>1</v>
      </c>
      <c r="D73" s="11"/>
      <c r="E73" s="12">
        <f t="shared" si="2"/>
        <v>1.0263735639E-2</v>
      </c>
    </row>
    <row r="74" spans="1:5" ht="12" customHeight="1" x14ac:dyDescent="0.2">
      <c r="A74" s="10" t="s">
        <v>72</v>
      </c>
      <c r="B74" s="11">
        <v>1.0263735639E-2</v>
      </c>
      <c r="C74" s="11">
        <v>1</v>
      </c>
      <c r="D74" s="11"/>
      <c r="E74" s="12">
        <f t="shared" si="2"/>
        <v>1.0263735639E-2</v>
      </c>
    </row>
    <row r="75" spans="1:5" ht="12" customHeight="1" x14ac:dyDescent="0.2">
      <c r="A75" s="10" t="s">
        <v>73</v>
      </c>
      <c r="B75" s="11">
        <v>1.0263735639E-2</v>
      </c>
      <c r="C75" s="11">
        <v>1</v>
      </c>
      <c r="D75" s="11"/>
      <c r="E75" s="12">
        <f t="shared" si="2"/>
        <v>1.0263735639E-2</v>
      </c>
    </row>
    <row r="76" spans="1:5" ht="12" customHeight="1" x14ac:dyDescent="0.2">
      <c r="A76" s="10" t="s">
        <v>74</v>
      </c>
      <c r="B76" s="11">
        <v>1.0263735639E-2</v>
      </c>
      <c r="C76" s="11">
        <v>1</v>
      </c>
      <c r="D76" s="11"/>
      <c r="E76" s="12">
        <f t="shared" si="2"/>
        <v>1.0263735639E-2</v>
      </c>
    </row>
    <row r="77" spans="1:5" ht="12" customHeight="1" x14ac:dyDescent="0.2">
      <c r="A77" s="10" t="s">
        <v>75</v>
      </c>
      <c r="B77" s="11">
        <v>1.0263735639E-2</v>
      </c>
      <c r="C77" s="11">
        <v>1</v>
      </c>
      <c r="D77" s="11"/>
      <c r="E77" s="12">
        <f t="shared" si="2"/>
        <v>1.0263735639E-2</v>
      </c>
    </row>
    <row r="78" spans="1:5" ht="12" customHeight="1" x14ac:dyDescent="0.2">
      <c r="A78" s="10" t="s">
        <v>76</v>
      </c>
      <c r="B78" s="11">
        <v>1.0263735639E-2</v>
      </c>
      <c r="C78" s="11">
        <v>1</v>
      </c>
      <c r="D78" s="11"/>
      <c r="E78" s="12">
        <f t="shared" si="2"/>
        <v>1.0263735639E-2</v>
      </c>
    </row>
    <row r="79" spans="1:5" ht="12" customHeight="1" x14ac:dyDescent="0.2">
      <c r="A79" s="10" t="s">
        <v>77</v>
      </c>
      <c r="B79" s="11">
        <v>1.0263735639E-2</v>
      </c>
      <c r="C79" s="11">
        <v>1</v>
      </c>
      <c r="D79" s="11"/>
      <c r="E79" s="12">
        <f t="shared" si="2"/>
        <v>1.0263735639E-2</v>
      </c>
    </row>
    <row r="80" spans="1:5" ht="12" customHeight="1" x14ac:dyDescent="0.2">
      <c r="A80" s="10" t="s">
        <v>78</v>
      </c>
      <c r="B80" s="11">
        <v>1.0263735639E-2</v>
      </c>
      <c r="C80" s="11">
        <v>1</v>
      </c>
      <c r="D80" s="11"/>
      <c r="E80" s="12">
        <f t="shared" si="2"/>
        <v>1.0263735639E-2</v>
      </c>
    </row>
    <row r="81" spans="1:5" ht="12" customHeight="1" x14ac:dyDescent="0.2">
      <c r="A81" s="10" t="s">
        <v>79</v>
      </c>
      <c r="B81" s="11">
        <v>1.0387071372E-2</v>
      </c>
      <c r="C81" s="11">
        <v>1</v>
      </c>
      <c r="D81" s="11"/>
      <c r="E81" s="12">
        <f t="shared" si="2"/>
        <v>1.0387071372E-2</v>
      </c>
    </row>
    <row r="82" spans="1:5" ht="12" customHeight="1" x14ac:dyDescent="0.2">
      <c r="A82" s="10" t="s">
        <v>80</v>
      </c>
      <c r="B82" s="11">
        <v>1.0879010160000001E-2</v>
      </c>
      <c r="C82" s="11">
        <v>1.8404483879000001E-2</v>
      </c>
      <c r="D82" s="11">
        <v>1.8404483878553299E-2</v>
      </c>
      <c r="E82" s="12">
        <f t="shared" si="2"/>
        <v>1.0879010160000001E-2</v>
      </c>
    </row>
    <row r="83" spans="1:5" ht="12" customHeight="1" x14ac:dyDescent="0.2">
      <c r="A83" s="10" t="s">
        <v>81</v>
      </c>
      <c r="B83" s="11">
        <v>1.0879010160000001E-2</v>
      </c>
      <c r="C83" s="11">
        <v>1</v>
      </c>
      <c r="D83" s="11"/>
      <c r="E83" s="12">
        <f t="shared" si="2"/>
        <v>1.0879010160000001E-2</v>
      </c>
    </row>
    <row r="84" spans="1:5" ht="12" customHeight="1" x14ac:dyDescent="0.2">
      <c r="A84" s="10" t="s">
        <v>82</v>
      </c>
      <c r="B84" s="11">
        <v>1.0879010160000001E-2</v>
      </c>
      <c r="C84" s="11">
        <v>1</v>
      </c>
      <c r="D84" s="11"/>
      <c r="E84" s="12">
        <f t="shared" si="2"/>
        <v>1.0879010160000001E-2</v>
      </c>
    </row>
    <row r="85" spans="1:5" ht="12" customHeight="1" x14ac:dyDescent="0.2">
      <c r="A85" s="10" t="s">
        <v>83</v>
      </c>
      <c r="B85" s="11">
        <v>1.0879010160000001E-2</v>
      </c>
      <c r="C85" s="11">
        <v>1</v>
      </c>
      <c r="D85" s="11"/>
      <c r="E85" s="12">
        <f t="shared" si="2"/>
        <v>1.0879010160000001E-2</v>
      </c>
    </row>
    <row r="86" spans="1:5" ht="12" customHeight="1" x14ac:dyDescent="0.2">
      <c r="A86" s="10" t="s">
        <v>84</v>
      </c>
      <c r="B86" s="11">
        <v>1.0879010160000001E-2</v>
      </c>
      <c r="C86" s="11">
        <v>1</v>
      </c>
      <c r="D86" s="11"/>
      <c r="E86" s="12">
        <f t="shared" si="2"/>
        <v>1.0879010160000001E-2</v>
      </c>
    </row>
    <row r="87" spans="1:5" ht="12" customHeight="1" x14ac:dyDescent="0.2">
      <c r="A87" s="10" t="s">
        <v>85</v>
      </c>
      <c r="B87" s="11">
        <v>1.0879010160000001E-2</v>
      </c>
      <c r="C87" s="11">
        <v>1</v>
      </c>
      <c r="D87" s="11"/>
      <c r="E87" s="12">
        <f t="shared" si="2"/>
        <v>1.0879010160000001E-2</v>
      </c>
    </row>
    <row r="88" spans="1:5" ht="12" customHeight="1" x14ac:dyDescent="0.2">
      <c r="A88" s="10" t="s">
        <v>86</v>
      </c>
      <c r="B88" s="11">
        <v>1.0879010160000001E-2</v>
      </c>
      <c r="C88" s="11">
        <v>1</v>
      </c>
      <c r="D88" s="11"/>
      <c r="E88" s="12">
        <f t="shared" si="2"/>
        <v>1.0879010160000001E-2</v>
      </c>
    </row>
    <row r="89" spans="1:5" ht="12" customHeight="1" x14ac:dyDescent="0.2">
      <c r="A89" s="10" t="s">
        <v>87</v>
      </c>
      <c r="B89" s="11">
        <v>1.0879010160000001E-2</v>
      </c>
      <c r="C89" s="11">
        <v>1</v>
      </c>
      <c r="D89" s="11"/>
      <c r="E89" s="12">
        <f t="shared" si="2"/>
        <v>1.0879010160000001E-2</v>
      </c>
    </row>
    <row r="90" spans="1:5" ht="12" customHeight="1" x14ac:dyDescent="0.2">
      <c r="A90" s="10" t="s">
        <v>88</v>
      </c>
      <c r="B90" s="11">
        <v>1.0879010160000001E-2</v>
      </c>
      <c r="C90" s="11">
        <v>1</v>
      </c>
      <c r="D90" s="11"/>
      <c r="E90" s="12">
        <f t="shared" si="2"/>
        <v>1.0879010160000001E-2</v>
      </c>
    </row>
    <row r="91" spans="1:5" ht="12" customHeight="1" x14ac:dyDescent="0.2">
      <c r="A91" s="10" t="s">
        <v>89</v>
      </c>
      <c r="B91" s="11">
        <v>1.2880781139E-2</v>
      </c>
      <c r="C91" s="11">
        <v>1</v>
      </c>
      <c r="D91" s="11"/>
      <c r="E91" s="12">
        <f t="shared" si="2"/>
        <v>1.2880781139E-2</v>
      </c>
    </row>
    <row r="92" spans="1:5" ht="12" customHeight="1" x14ac:dyDescent="0.2">
      <c r="A92" s="10" t="s">
        <v>90</v>
      </c>
      <c r="B92" s="11">
        <v>1.2880781139E-2</v>
      </c>
      <c r="C92" s="11">
        <v>1</v>
      </c>
      <c r="D92" s="11"/>
      <c r="E92" s="12">
        <f t="shared" si="2"/>
        <v>1.2880781139E-2</v>
      </c>
    </row>
    <row r="93" spans="1:5" ht="12" customHeight="1" x14ac:dyDescent="0.2">
      <c r="A93" s="10" t="s">
        <v>91</v>
      </c>
      <c r="B93" s="11">
        <v>1.2880781139E-2</v>
      </c>
      <c r="C93" s="11">
        <v>1</v>
      </c>
      <c r="D93" s="11"/>
      <c r="E93" s="12">
        <f t="shared" si="2"/>
        <v>1.2880781139E-2</v>
      </c>
    </row>
    <row r="94" spans="1:5" ht="12" customHeight="1" x14ac:dyDescent="0.2">
      <c r="A94" s="10" t="s">
        <v>92</v>
      </c>
      <c r="B94" s="11">
        <v>4.5949120397999997E-2</v>
      </c>
      <c r="C94" s="11">
        <v>1.5735609173000001E-2</v>
      </c>
      <c r="D94" s="11">
        <v>1.57356091725568E-2</v>
      </c>
      <c r="E94" s="12">
        <f t="shared" si="2"/>
        <v>1.57356091725568E-2</v>
      </c>
    </row>
    <row r="95" spans="1:5" ht="12" customHeight="1" x14ac:dyDescent="0.2">
      <c r="A95" s="10" t="s">
        <v>93</v>
      </c>
      <c r="B95" s="11">
        <v>1.5735609173000001E-2</v>
      </c>
      <c r="C95" s="11">
        <v>1</v>
      </c>
      <c r="D95" s="11"/>
      <c r="E95" s="12">
        <f t="shared" si="2"/>
        <v>1.5735609173000001E-2</v>
      </c>
    </row>
    <row r="96" spans="1:5" ht="12" customHeight="1" x14ac:dyDescent="0.2">
      <c r="A96" s="10" t="s">
        <v>94</v>
      </c>
      <c r="B96" s="11">
        <v>1.5735609173000001E-2</v>
      </c>
      <c r="C96" s="11">
        <v>1</v>
      </c>
      <c r="D96" s="11"/>
      <c r="E96" s="12">
        <f t="shared" si="2"/>
        <v>1.5735609173000001E-2</v>
      </c>
    </row>
    <row r="97" spans="1:5" ht="12" customHeight="1" x14ac:dyDescent="0.2">
      <c r="A97" s="10" t="s">
        <v>95</v>
      </c>
      <c r="B97" s="11">
        <v>1.5735609173000001E-2</v>
      </c>
      <c r="C97" s="11">
        <v>1</v>
      </c>
      <c r="D97" s="11"/>
      <c r="E97" s="12">
        <f t="shared" si="2"/>
        <v>1.5735609173000001E-2</v>
      </c>
    </row>
    <row r="98" spans="1:5" ht="12" customHeight="1" x14ac:dyDescent="0.2">
      <c r="A98" s="10" t="s">
        <v>96</v>
      </c>
      <c r="B98" s="11">
        <v>1.5735609173000001E-2</v>
      </c>
      <c r="C98" s="11">
        <v>0.17421761973800001</v>
      </c>
      <c r="D98" s="11"/>
      <c r="E98" s="12">
        <f t="shared" si="2"/>
        <v>1.5735609173000001E-2</v>
      </c>
    </row>
    <row r="99" spans="1:5" ht="12" customHeight="1" x14ac:dyDescent="0.2">
      <c r="A99" s="10" t="s">
        <v>97</v>
      </c>
      <c r="B99" s="11">
        <v>1.6081690506000001E-2</v>
      </c>
      <c r="C99" s="11">
        <v>1</v>
      </c>
      <c r="D99" s="11"/>
      <c r="E99" s="12">
        <f t="shared" ref="E99:E102" si="3">MIN(B99,C99,D99)</f>
        <v>1.6081690506000001E-2</v>
      </c>
    </row>
    <row r="100" spans="1:5" ht="12" customHeight="1" x14ac:dyDescent="0.2">
      <c r="A100" s="10" t="s">
        <v>98</v>
      </c>
      <c r="B100" s="11">
        <v>0.39574835192699997</v>
      </c>
      <c r="C100" s="11">
        <v>1.8404483879000001E-2</v>
      </c>
      <c r="D100" s="11">
        <v>1.8404483878553299E-2</v>
      </c>
      <c r="E100" s="12">
        <f t="shared" si="3"/>
        <v>1.8404483878553299E-2</v>
      </c>
    </row>
    <row r="101" spans="1:5" ht="12" customHeight="1" x14ac:dyDescent="0.2">
      <c r="A101" s="2" t="s">
        <v>99</v>
      </c>
      <c r="B101" s="4">
        <v>6.9843181126000006E-2</v>
      </c>
      <c r="C101" s="4">
        <v>8.0501116639999995E-2</v>
      </c>
      <c r="D101" s="4">
        <v>1.8404483878553299E-2</v>
      </c>
      <c r="E101" s="5">
        <f t="shared" si="3"/>
        <v>1.8404483878553299E-2</v>
      </c>
    </row>
    <row r="102" spans="1:5" ht="12" customHeight="1" thickBot="1" x14ac:dyDescent="0.25">
      <c r="A102" s="14" t="s">
        <v>100</v>
      </c>
      <c r="B102" s="15">
        <v>1.8404483879000001E-2</v>
      </c>
      <c r="C102" s="15">
        <v>1</v>
      </c>
      <c r="D102" s="15"/>
      <c r="E102" s="16">
        <f t="shared" si="3"/>
        <v>1.8404483879000001E-2</v>
      </c>
    </row>
    <row r="103" spans="1:5" ht="90" customHeight="1" x14ac:dyDescent="0.2">
      <c r="A103" s="17" t="s">
        <v>106</v>
      </c>
      <c r="B103" s="17"/>
      <c r="C103" s="17"/>
      <c r="D103" s="17"/>
      <c r="E103" s="17"/>
    </row>
  </sheetData>
  <mergeCells count="1">
    <mergeCell ref="A103:E103"/>
  </mergeCells>
  <pageMargins left="0.7" right="0.7" top="0.78740157499999996" bottom="0.78740157499999996" header="0.3" footer="0.3"/>
  <pageSetup paperSize="9" orientation="portrait" verticalDpi="597"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Supplementary Data_1_top100</vt:lpstr>
    </vt:vector>
  </TitlesOfParts>
  <Company>Universitaetsklinikum Tuebingen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Tobias Haack</dc:creator>
  <cp:lastModifiedBy>Jonasz J. Weber</cp:lastModifiedBy>
  <dcterms:created xsi:type="dcterms:W3CDTF">2024-02-05T13:07:25Z</dcterms:created>
  <dcterms:modified xsi:type="dcterms:W3CDTF">2026-01-05T14:38:52Z</dcterms:modified>
</cp:coreProperties>
</file>